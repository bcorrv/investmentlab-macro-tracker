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vestmentlab/Documents/08_InvestmentLab/macro_tracker/dashboard/"/>
    </mc:Choice>
  </mc:AlternateContent>
  <xr:revisionPtr revIDLastSave="0" documentId="8_{56C27C06-69FC-3E4F-B663-4C55F0C5489E}" xr6:coauthVersionLast="47" xr6:coauthVersionMax="47" xr10:uidLastSave="{00000000-0000-0000-0000-000000000000}"/>
  <bookViews>
    <workbookView xWindow="21260" yWindow="1980" windowWidth="28040" windowHeight="17440" activeTab="1" xr2:uid="{0CD888A5-6EE0-F446-A03B-314CF3E27627}"/>
  </bookViews>
  <sheets>
    <sheet name="daily_snapshot" sheetId="4" r:id="rId1"/>
    <sheet name="Hoja1" sheetId="5" r:id="rId2"/>
  </sheets>
  <definedNames>
    <definedName name="DatosExternos_1" localSheetId="0" hidden="1">daily_snapshot!$A$1:$G$32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 a="1"/>
  <c r="B7" i="5" s="1"/>
  <c r="B6" i="5" a="1"/>
  <c r="B6" i="5" s="1"/>
  <c r="B5" i="5" a="1"/>
  <c r="B5" i="5" s="1"/>
  <c r="B4" i="5" a="1"/>
  <c r="B4" i="5" s="1"/>
  <c r="B3" i="5" a="1"/>
  <c r="B3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BEA978-FDCA-9D40-91C9-6D0664079111}" keepAlive="1" name="Consulta - daily_snapshot" description="Conexión a la consulta 'daily_snapshot' en el libro." type="5" refreshedVersion="8" background="1" saveData="1">
    <dbPr connection="Provider=Microsoft.Mashup.OleDb.1;Data Source=$Workbook$;Location=daily_snapshot;Extended Properties=&quot;&quot;" command="SELECT * FROM [daily_snapsho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<sst xmlns="http://schemas.openxmlformats.org/spreadsheetml/2006/main" count="13" uniqueCount="13">
  <si>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fecha</t>
  </si>
  <si>
    <t>usd_clp</t>
  </si>
  <si>
    <t>usd_pct_change</t>
  </si>
  <si>
    <t>usd_ma30</t>
  </si>
  <si>
    <t>usd_above_ma30</t>
  </si>
  <si>
    <t>uf</t>
  </si>
  <si>
    <t>tpm</t>
  </si>
  <si>
    <t>Último USD</t>
  </si>
  <si>
    <t>Variación Diaria %</t>
  </si>
  <si>
    <t>Sobre MA30</t>
  </si>
  <si>
    <t>Última TPM</t>
  </si>
  <si>
    <t>Última UF</t>
  </si>
  <si>
    <t>Datos globales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</si>
</sst>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5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18" fillId="0" borderId="0" xfId="0" applyFont="1"/>
    <xf numFmtId="41" fontId="0" fillId="0" borderId="0" xfId="1" applyNumberFormat="1" applyFont="1" applyAlignment="1">
      <alignment horizontal="right"/>
    </xf>
    <xf numFmtId="165" fontId="0" fillId="0" borderId="0" xfId="2" applyNumberFormat="1" applyFon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41" fontId="0" fillId="0" borderId="0" xfId="1" applyFont="1" applyAlignment="1">
      <alignment horizontal="right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[0]" xfId="1" builtinId="6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USD_CLP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daily_snapshot!$A$2:$A$32</c:f>
              <c:numCache>
                <c:formatCode>m/d/yy</c:formatCode>
                <c:ptCount val="31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46034</c:v>
                </c:pt>
                <c:pt idx="4">
                  <c:v>46035</c:v>
                </c:pt>
                <c:pt idx="5">
                  <c:v>46036</c:v>
                </c:pt>
                <c:pt idx="6">
                  <c:v>46037</c:v>
                </c:pt>
                <c:pt idx="7">
                  <c:v>46038</c:v>
                </c:pt>
                <c:pt idx="8">
                  <c:v>46041</c:v>
                </c:pt>
                <c:pt idx="9">
                  <c:v>46042</c:v>
                </c:pt>
                <c:pt idx="10">
                  <c:v>46043</c:v>
                </c:pt>
                <c:pt idx="11">
                  <c:v>46044</c:v>
                </c:pt>
                <c:pt idx="12">
                  <c:v>46045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46062</c:v>
                </c:pt>
                <c:pt idx="24">
                  <c:v>46063</c:v>
                </c:pt>
                <c:pt idx="25">
                  <c:v>46064</c:v>
                </c:pt>
                <c:pt idx="26">
                  <c:v>46065</c:v>
                </c:pt>
                <c:pt idx="27">
                  <c:v>46066</c:v>
                </c:pt>
                <c:pt idx="28">
                  <c:v>46069</c:v>
                </c:pt>
                <c:pt idx="29">
                  <c:v>46070</c:v>
                </c:pt>
                <c:pt idx="30">
                  <c:v>46071</c:v>
                </c:pt>
              </c:numCache>
            </c:numRef>
          </c:cat>
          <c:val>
            <c:numRef>
              <c:f>daily_snapshot!$B$2:$B$32</c:f>
              <c:numCache>
                <c:formatCode>General</c:formatCode>
                <c:ptCount val="31"/>
                <c:pt idx="0">
                  <c:v>897</c:v>
                </c:pt>
                <c:pt idx="1">
                  <c:v>895</c:v>
                </c:pt>
                <c:pt idx="2">
                  <c:v>897</c:v>
                </c:pt>
                <c:pt idx="3">
                  <c:v>896</c:v>
                </c:pt>
                <c:pt idx="4">
                  <c:v>886</c:v>
                </c:pt>
                <c:pt idx="5">
                  <c:v>884</c:v>
                </c:pt>
                <c:pt idx="6">
                  <c:v>883</c:v>
                </c:pt>
                <c:pt idx="7">
                  <c:v>885</c:v>
                </c:pt>
                <c:pt idx="8">
                  <c:v>887</c:v>
                </c:pt>
                <c:pt idx="9">
                  <c:v>889</c:v>
                </c:pt>
                <c:pt idx="10">
                  <c:v>890</c:v>
                </c:pt>
                <c:pt idx="11">
                  <c:v>878</c:v>
                </c:pt>
                <c:pt idx="12">
                  <c:v>872</c:v>
                </c:pt>
                <c:pt idx="13">
                  <c:v>871</c:v>
                </c:pt>
                <c:pt idx="14">
                  <c:v>863</c:v>
                </c:pt>
                <c:pt idx="15">
                  <c:v>862</c:v>
                </c:pt>
                <c:pt idx="16">
                  <c:v>858</c:v>
                </c:pt>
                <c:pt idx="17">
                  <c:v>858</c:v>
                </c:pt>
                <c:pt idx="18">
                  <c:v>865</c:v>
                </c:pt>
                <c:pt idx="19">
                  <c:v>869</c:v>
                </c:pt>
                <c:pt idx="20">
                  <c:v>860</c:v>
                </c:pt>
                <c:pt idx="21">
                  <c:v>858</c:v>
                </c:pt>
                <c:pt idx="22">
                  <c:v>866</c:v>
                </c:pt>
                <c:pt idx="23">
                  <c:v>860</c:v>
                </c:pt>
                <c:pt idx="24">
                  <c:v>854</c:v>
                </c:pt>
                <c:pt idx="25">
                  <c:v>856</c:v>
                </c:pt>
                <c:pt idx="26">
                  <c:v>856</c:v>
                </c:pt>
                <c:pt idx="27">
                  <c:v>854</c:v>
                </c:pt>
                <c:pt idx="28">
                  <c:v>864</c:v>
                </c:pt>
                <c:pt idx="29">
                  <c:v>863</c:v>
                </c:pt>
                <c:pt idx="30">
                  <c:v>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18-9846-B5F8-9E226C04BA0F}"/>
            </c:ext>
          </c:extLst>
        </c:ser>
        <c:ser>
          <c:idx val="1"/>
          <c:order val="1"/>
          <c:tx>
            <c:v>USD_MA30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daily_snapshot!$A$2:$A$32</c:f>
              <c:numCache>
                <c:formatCode>m/d/yy</c:formatCode>
                <c:ptCount val="31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46034</c:v>
                </c:pt>
                <c:pt idx="4">
                  <c:v>46035</c:v>
                </c:pt>
                <c:pt idx="5">
                  <c:v>46036</c:v>
                </c:pt>
                <c:pt idx="6">
                  <c:v>46037</c:v>
                </c:pt>
                <c:pt idx="7">
                  <c:v>46038</c:v>
                </c:pt>
                <c:pt idx="8">
                  <c:v>46041</c:v>
                </c:pt>
                <c:pt idx="9">
                  <c:v>46042</c:v>
                </c:pt>
                <c:pt idx="10">
                  <c:v>46043</c:v>
                </c:pt>
                <c:pt idx="11">
                  <c:v>46044</c:v>
                </c:pt>
                <c:pt idx="12">
                  <c:v>46045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46062</c:v>
                </c:pt>
                <c:pt idx="24">
                  <c:v>46063</c:v>
                </c:pt>
                <c:pt idx="25">
                  <c:v>46064</c:v>
                </c:pt>
                <c:pt idx="26">
                  <c:v>46065</c:v>
                </c:pt>
                <c:pt idx="27">
                  <c:v>46066</c:v>
                </c:pt>
                <c:pt idx="28">
                  <c:v>46069</c:v>
                </c:pt>
                <c:pt idx="29">
                  <c:v>46070</c:v>
                </c:pt>
                <c:pt idx="30">
                  <c:v>46071</c:v>
                </c:pt>
              </c:numCache>
            </c:numRef>
          </c:cat>
          <c:val>
            <c:numRef>
              <c:f>daily_snapshot!$D$2:$D$32</c:f>
              <c:numCache>
                <c:formatCode>General</c:formatCode>
                <c:ptCount val="31"/>
                <c:pt idx="29">
                  <c:v>872</c:v>
                </c:pt>
                <c:pt idx="30">
                  <c:v>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18-9846-B5F8-9E226C04B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799760"/>
        <c:axId val="859633120"/>
      </c:lineChart>
      <c:dateAx>
        <c:axId val="859799760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59633120"/>
        <c:crosses val="autoZero"/>
        <c:auto val="1"/>
        <c:lblOffset val="100"/>
        <c:baseTimeUnit val="days"/>
      </c:dateAx>
      <c:valAx>
        <c:axId val="85963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597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463550</xdr:colOff>
      <xdr:row>9</xdr:row>
      <xdr:rowOff>139700</xdr:rowOff>
    </xdr:from>
    <xdr:to>
      <xdr:col>8</xdr:col>
      <xdr:colOff>609600</xdr:colOff>
      <xdr:row>29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81C318-7910-5989-590F-DC71244EA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3D605EE-9210-B641-9982-1CB8422478FE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usd_clp" tableColumnId="2"/>
      <queryTableField id="3" name="usd_pct_change" tableColumnId="3"/>
      <queryTableField id="4" name="usd_ma30" tableColumnId="4"/>
      <queryTableField id="5" name="usd_above_ma30" tableColumnId="5"/>
      <queryTableField id="6" name="uf" tableColumnId="6"/>
      <queryTableField id="7" name="tpm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6F49BD-6DEB-5743-A9FF-47D645C4847D}" name="daily_snapshot" displayName="daily_snapshot" ref="A1:G32" tableType="queryTable" totalsRowShown="0">
  <autoFilter ref="A1:G32" xr:uid="{1D6F49BD-6DEB-5743-A9FF-47D645C4847D}"/>
  <tableColumns count="7">
    <tableColumn id="1" xr3:uid="{B35F07CB-6FCF-304C-8135-2E00B6DB5D63}" uniqueName="1" name="fecha" queryTableFieldId="1" dataDxfId="6"/>
    <tableColumn id="2" xr3:uid="{D47AE7CE-2B78-744A-BEE7-07255C94AA29}" uniqueName="2" name="usd_clp" queryTableFieldId="2" dataDxfId="5"/>
    <tableColumn id="3" xr3:uid="{2E51C5C3-790B-E44C-BF45-FB9309BBFC2F}" uniqueName="3" name="usd_pct_change" queryTableFieldId="3" dataDxfId="4"/>
    <tableColumn id="4" xr3:uid="{4E5E99C0-E4BC-4047-AEBF-BA367981BF01}" uniqueName="4" name="usd_ma30" queryTableFieldId="4" dataDxfId="3"/>
    <tableColumn id="5" xr3:uid="{4F61B3BB-AEA8-C348-9710-E971B0023E50}" uniqueName="5" name="usd_above_ma30" queryTableFieldId="5" dataDxfId="2"/>
    <tableColumn id="6" xr3:uid="{301CA7DA-54EC-A941-AD67-0A4E4E4F26D6}" uniqueName="6" name="uf" queryTableFieldId="6" dataDxfId="1"/>
    <tableColumn id="7" xr3:uid="{935D2138-A100-D240-AF03-F5652D1CEAC9}" uniqueName="7" name="tpm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A3D7-25A0-5E4B-8EC5-11B822E78D83}">
  <dimension ref="A1:G32"/>
  <sheetViews>
    <sheetView workbookViewId="0">
      <selection activeCell="C2" sqref="C2"/>
    </sheetView>
  </sheetViews>
  <sheetFormatPr baseColWidth="10" defaultRowHeight="16" x14ac:dyDescent="0.2"/>
  <cols>
    <col min="1" max="1" width="8.5" bestFit="1" customWidth="1"/>
    <col min="2" max="2" width="10" bestFit="1" customWidth="1"/>
    <col min="3" max="3" width="17" bestFit="1" customWidth="1"/>
    <col min="4" max="4" width="12.1640625" bestFit="1" customWidth="1"/>
    <col min="5" max="5" width="17.83203125" bestFit="1" customWidth="1"/>
    <col min="6" max="6" width="6.1640625" bestFit="1" customWidth="1"/>
    <col min="7" max="7" width="7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46029</v>
      </c>
      <c r="B2" s="2">
        <v>897</v>
      </c>
      <c r="C2" s="2"/>
      <c r="D2" s="2"/>
      <c r="E2" s="2" t="b">
        <v>0</v>
      </c>
      <c r="F2" s="2"/>
      <c r="G2" s="2">
        <v>4</v>
      </c>
    </row>
    <row r="3" spans="1:7" x14ac:dyDescent="0.2">
      <c r="A3" s="1">
        <v>46030</v>
      </c>
      <c r="B3" s="2">
        <v>895</v>
      </c>
      <c r="C3" s="2">
        <v>-0.16614259271648946</v>
      </c>
      <c r="D3" s="2"/>
      <c r="E3" s="2" t="b">
        <v>0</v>
      </c>
      <c r="F3" s="2"/>
      <c r="G3" s="2">
        <v>4</v>
      </c>
    </row>
    <row r="4" spans="1:7" x14ac:dyDescent="0.2">
      <c r="A4" s="1">
        <v>46031</v>
      </c>
      <c r="B4" s="2">
        <v>897</v>
      </c>
      <c r="C4" s="2">
        <v>0.17423743200830621</v>
      </c>
      <c r="D4" s="2"/>
      <c r="E4" s="2" t="b">
        <v>0</v>
      </c>
      <c r="F4" s="2"/>
      <c r="G4" s="2">
        <v>4</v>
      </c>
    </row>
    <row r="5" spans="1:7" x14ac:dyDescent="0.2">
      <c r="A5" s="1">
        <v>46034</v>
      </c>
      <c r="B5" s="2">
        <v>896</v>
      </c>
      <c r="C5" s="2">
        <v>-0.15052013067377024</v>
      </c>
      <c r="D5" s="2"/>
      <c r="E5" s="2" t="b">
        <v>0</v>
      </c>
      <c r="F5" s="2"/>
      <c r="G5" s="2">
        <v>4</v>
      </c>
    </row>
    <row r="6" spans="1:7" x14ac:dyDescent="0.2">
      <c r="A6" s="1">
        <v>46035</v>
      </c>
      <c r="B6" s="2">
        <v>886</v>
      </c>
      <c r="C6" s="2">
        <v>-1.0976617459856564</v>
      </c>
      <c r="D6" s="2"/>
      <c r="E6" s="2" t="b">
        <v>0</v>
      </c>
      <c r="F6" s="2"/>
      <c r="G6" s="2">
        <v>4</v>
      </c>
    </row>
    <row r="7" spans="1:7" x14ac:dyDescent="0.2">
      <c r="A7" s="1">
        <v>46036</v>
      </c>
      <c r="B7" s="2">
        <v>884</v>
      </c>
      <c r="C7" s="2">
        <v>-0.19758160120129098</v>
      </c>
      <c r="D7" s="2"/>
      <c r="E7" s="2" t="b">
        <v>0</v>
      </c>
      <c r="F7" s="2"/>
      <c r="G7" s="2">
        <v>4</v>
      </c>
    </row>
    <row r="8" spans="1:7" x14ac:dyDescent="0.2">
      <c r="A8" s="1">
        <v>46037</v>
      </c>
      <c r="B8" s="2">
        <v>883</v>
      </c>
      <c r="C8" s="2">
        <v>-0.13801529480972352</v>
      </c>
      <c r="D8" s="2"/>
      <c r="E8" s="2" t="b">
        <v>0</v>
      </c>
      <c r="F8" s="2"/>
      <c r="G8" s="2">
        <v>4</v>
      </c>
    </row>
    <row r="9" spans="1:7" x14ac:dyDescent="0.2">
      <c r="A9" s="1">
        <v>46038</v>
      </c>
      <c r="B9" s="2">
        <v>885</v>
      </c>
      <c r="C9" s="2">
        <v>0.2073090604254979</v>
      </c>
      <c r="D9" s="2"/>
      <c r="E9" s="2" t="b">
        <v>0</v>
      </c>
      <c r="F9" s="2"/>
      <c r="G9" s="2">
        <v>4</v>
      </c>
    </row>
    <row r="10" spans="1:7" x14ac:dyDescent="0.2">
      <c r="A10" s="1">
        <v>46041</v>
      </c>
      <c r="B10" s="2">
        <v>887</v>
      </c>
      <c r="C10" s="2">
        <v>0.27584023876006114</v>
      </c>
      <c r="D10" s="2"/>
      <c r="E10" s="2" t="b">
        <v>0</v>
      </c>
      <c r="F10" s="2">
        <v>39737</v>
      </c>
      <c r="G10" s="2">
        <v>4</v>
      </c>
    </row>
    <row r="11" spans="1:7" x14ac:dyDescent="0.2">
      <c r="A11" s="1">
        <v>46042</v>
      </c>
      <c r="B11" s="2">
        <v>889</v>
      </c>
      <c r="C11" s="2">
        <v>0.18601819596171243</v>
      </c>
      <c r="D11" s="2"/>
      <c r="E11" s="2" t="b">
        <v>0</v>
      </c>
      <c r="F11" s="2">
        <v>39734</v>
      </c>
      <c r="G11" s="2">
        <v>4</v>
      </c>
    </row>
    <row r="12" spans="1:7" x14ac:dyDescent="0.2">
      <c r="A12" s="1">
        <v>46043</v>
      </c>
      <c r="B12" s="2">
        <v>890</v>
      </c>
      <c r="C12" s="2">
        <v>9.9025499066018874E-2</v>
      </c>
      <c r="D12" s="2"/>
      <c r="E12" s="2" t="b">
        <v>0</v>
      </c>
      <c r="F12" s="2">
        <v>39732</v>
      </c>
      <c r="G12" s="2">
        <v>4</v>
      </c>
    </row>
    <row r="13" spans="1:7" x14ac:dyDescent="0.2">
      <c r="A13" s="1">
        <v>46044</v>
      </c>
      <c r="B13" s="2">
        <v>878</v>
      </c>
      <c r="C13" s="2">
        <v>-1.2736920205949076</v>
      </c>
      <c r="D13" s="2"/>
      <c r="E13" s="2" t="b">
        <v>0</v>
      </c>
      <c r="F13" s="2">
        <v>39729</v>
      </c>
      <c r="G13" s="2">
        <v>4</v>
      </c>
    </row>
    <row r="14" spans="1:7" x14ac:dyDescent="0.2">
      <c r="A14" s="1">
        <v>46045</v>
      </c>
      <c r="B14" s="2">
        <v>872</v>
      </c>
      <c r="C14" s="2">
        <v>-0.68206920895913514</v>
      </c>
      <c r="D14" s="2"/>
      <c r="E14" s="2" t="b">
        <v>0</v>
      </c>
      <c r="F14" s="2">
        <v>39727</v>
      </c>
      <c r="G14" s="2">
        <v>4</v>
      </c>
    </row>
    <row r="15" spans="1:7" x14ac:dyDescent="0.2">
      <c r="A15" s="1">
        <v>46048</v>
      </c>
      <c r="B15" s="2">
        <v>871</v>
      </c>
      <c r="C15" s="2">
        <v>-0.17312146018206853</v>
      </c>
      <c r="D15" s="2"/>
      <c r="E15" s="2" t="b">
        <v>0</v>
      </c>
      <c r="F15" s="2">
        <v>39719</v>
      </c>
      <c r="G15" s="2">
        <v>4</v>
      </c>
    </row>
    <row r="16" spans="1:7" x14ac:dyDescent="0.2">
      <c r="A16" s="1">
        <v>46049</v>
      </c>
      <c r="B16" s="2">
        <v>863</v>
      </c>
      <c r="C16" s="2">
        <v>-0.88778123600280479</v>
      </c>
      <c r="D16" s="2"/>
      <c r="E16" s="2" t="b">
        <v>0</v>
      </c>
      <c r="F16" s="2">
        <v>39716</v>
      </c>
      <c r="G16" s="2">
        <v>4</v>
      </c>
    </row>
    <row r="17" spans="1:7" x14ac:dyDescent="0.2">
      <c r="A17" s="1">
        <v>46050</v>
      </c>
      <c r="B17" s="2">
        <v>862</v>
      </c>
      <c r="C17" s="2">
        <v>-9.3860807898216159E-2</v>
      </c>
      <c r="D17" s="2"/>
      <c r="E17" s="2" t="b">
        <v>0</v>
      </c>
      <c r="F17" s="2">
        <v>39714</v>
      </c>
      <c r="G17" s="2">
        <v>4</v>
      </c>
    </row>
    <row r="18" spans="1:7" x14ac:dyDescent="0.2">
      <c r="A18" s="1">
        <v>46051</v>
      </c>
      <c r="B18" s="2">
        <v>858</v>
      </c>
      <c r="C18" s="2">
        <v>-0.48946263497916531</v>
      </c>
      <c r="D18" s="2"/>
      <c r="E18" s="2" t="b">
        <v>0</v>
      </c>
      <c r="F18" s="2">
        <v>39711</v>
      </c>
      <c r="G18" s="2">
        <v>4</v>
      </c>
    </row>
    <row r="19" spans="1:7" x14ac:dyDescent="0.2">
      <c r="A19" s="1">
        <v>46052</v>
      </c>
      <c r="B19" s="2">
        <v>858</v>
      </c>
      <c r="C19" s="2">
        <v>5.8278454455384932E-2</v>
      </c>
      <c r="D19" s="2"/>
      <c r="E19" s="2" t="b">
        <v>0</v>
      </c>
      <c r="F19" s="2">
        <v>39709</v>
      </c>
      <c r="G19" s="2">
        <v>4</v>
      </c>
    </row>
    <row r="20" spans="1:7" x14ac:dyDescent="0.2">
      <c r="A20" s="1">
        <v>46055</v>
      </c>
      <c r="B20" s="2">
        <v>865</v>
      </c>
      <c r="C20" s="2">
        <v>0.77465198905002364</v>
      </c>
      <c r="D20" s="2"/>
      <c r="E20" s="2" t="b">
        <v>0</v>
      </c>
      <c r="F20" s="2">
        <v>39701</v>
      </c>
      <c r="G20" s="2">
        <v>4</v>
      </c>
    </row>
    <row r="21" spans="1:7" x14ac:dyDescent="0.2">
      <c r="A21" s="1">
        <v>46056</v>
      </c>
      <c r="B21" s="2">
        <v>869</v>
      </c>
      <c r="C21" s="2">
        <v>0.39533001965090797</v>
      </c>
      <c r="D21" s="2"/>
      <c r="E21" s="2" t="b">
        <v>0</v>
      </c>
      <c r="F21" s="2">
        <v>39698</v>
      </c>
      <c r="G21" s="2">
        <v>4</v>
      </c>
    </row>
    <row r="22" spans="1:7" x14ac:dyDescent="0.2">
      <c r="A22" s="1">
        <v>46057</v>
      </c>
      <c r="B22" s="2">
        <v>860</v>
      </c>
      <c r="C22" s="2">
        <v>-1.0350941832082183</v>
      </c>
      <c r="D22" s="2"/>
      <c r="E22" s="2" t="b">
        <v>0</v>
      </c>
      <c r="F22" s="2">
        <v>39696</v>
      </c>
      <c r="G22" s="2">
        <v>4</v>
      </c>
    </row>
    <row r="23" spans="1:7" x14ac:dyDescent="0.2">
      <c r="A23" s="1">
        <v>46058</v>
      </c>
      <c r="B23" s="2">
        <v>858</v>
      </c>
      <c r="C23" s="2">
        <v>-0.22570474561678378</v>
      </c>
      <c r="D23" s="2"/>
      <c r="E23" s="2" t="b">
        <v>0</v>
      </c>
      <c r="F23" s="2">
        <v>39693</v>
      </c>
      <c r="G23" s="2">
        <v>4</v>
      </c>
    </row>
    <row r="24" spans="1:7" x14ac:dyDescent="0.2">
      <c r="A24" s="1">
        <v>46059</v>
      </c>
      <c r="B24" s="2">
        <v>866</v>
      </c>
      <c r="C24" s="2">
        <v>0.94217516528876111</v>
      </c>
      <c r="D24" s="2"/>
      <c r="E24" s="2" t="b">
        <v>0</v>
      </c>
      <c r="F24" s="2">
        <v>39691</v>
      </c>
      <c r="G24" s="2">
        <v>4</v>
      </c>
    </row>
    <row r="25" spans="1:7" x14ac:dyDescent="0.2">
      <c r="A25" s="1">
        <v>46062</v>
      </c>
      <c r="B25" s="2">
        <v>860</v>
      </c>
      <c r="C25" s="2">
        <v>-0.69425993738954084</v>
      </c>
      <c r="D25" s="2"/>
      <c r="E25" s="2" t="b">
        <v>0</v>
      </c>
      <c r="F25" s="2">
        <v>39683</v>
      </c>
      <c r="G25" s="2">
        <v>4</v>
      </c>
    </row>
    <row r="26" spans="1:7" x14ac:dyDescent="0.2">
      <c r="A26" s="1">
        <v>46063</v>
      </c>
      <c r="B26" s="2">
        <v>854</v>
      </c>
      <c r="C26" s="2">
        <v>-0.62931856780586992</v>
      </c>
      <c r="D26" s="2"/>
      <c r="E26" s="2" t="b">
        <v>0</v>
      </c>
      <c r="F26" s="2">
        <v>39689</v>
      </c>
      <c r="G26" s="2">
        <v>4</v>
      </c>
    </row>
    <row r="27" spans="1:7" x14ac:dyDescent="0.2">
      <c r="A27" s="1">
        <v>46064</v>
      </c>
      <c r="B27" s="2">
        <v>856</v>
      </c>
      <c r="C27" s="2">
        <v>0.21188176763242694</v>
      </c>
      <c r="D27" s="2"/>
      <c r="E27" s="2" t="b">
        <v>0</v>
      </c>
      <c r="F27" s="2">
        <v>39694</v>
      </c>
      <c r="G27" s="2">
        <v>4</v>
      </c>
    </row>
    <row r="28" spans="1:7" x14ac:dyDescent="0.2">
      <c r="A28" s="1">
        <v>46065</v>
      </c>
      <c r="B28" s="2">
        <v>856</v>
      </c>
      <c r="C28" s="2">
        <v>3.7380557437560746E-2</v>
      </c>
      <c r="D28" s="2"/>
      <c r="E28" s="2" t="b">
        <v>0</v>
      </c>
      <c r="F28" s="2">
        <v>39700</v>
      </c>
      <c r="G28" s="2">
        <v>4</v>
      </c>
    </row>
    <row r="29" spans="1:7" x14ac:dyDescent="0.2">
      <c r="A29" s="1">
        <v>46066</v>
      </c>
      <c r="B29" s="2">
        <v>854</v>
      </c>
      <c r="C29" s="2">
        <v>-0.23003806721315634</v>
      </c>
      <c r="D29" s="2"/>
      <c r="E29" s="2" t="b">
        <v>0</v>
      </c>
      <c r="F29" s="2">
        <v>39706</v>
      </c>
      <c r="G29" s="2">
        <v>4</v>
      </c>
    </row>
    <row r="30" spans="1:7" x14ac:dyDescent="0.2">
      <c r="A30" s="1">
        <v>46069</v>
      </c>
      <c r="B30" s="2">
        <v>864</v>
      </c>
      <c r="C30" s="2">
        <v>1.0638920424620446</v>
      </c>
      <c r="D30" s="2"/>
      <c r="E30" s="2" t="b">
        <v>0</v>
      </c>
      <c r="F30" s="2">
        <v>39723</v>
      </c>
      <c r="G30" s="2">
        <v>4</v>
      </c>
    </row>
    <row r="31" spans="1:7" x14ac:dyDescent="0.2">
      <c r="A31" s="1">
        <v>46070</v>
      </c>
      <c r="B31" s="2">
        <v>863</v>
      </c>
      <c r="C31" s="2">
        <v>-6.8326577880717387E-2</v>
      </c>
      <c r="D31" s="2">
        <v>872</v>
      </c>
      <c r="E31" s="2" t="b">
        <v>0</v>
      </c>
      <c r="F31" s="2">
        <v>39728</v>
      </c>
      <c r="G31" s="2">
        <v>4</v>
      </c>
    </row>
    <row r="32" spans="1:7" x14ac:dyDescent="0.2">
      <c r="A32" s="1">
        <v>46071</v>
      </c>
      <c r="B32" s="2">
        <v>868</v>
      </c>
      <c r="C32" s="2">
        <v>0.61767739393447929</v>
      </c>
      <c r="D32" s="2">
        <v>871</v>
      </c>
      <c r="E32" s="2" t="b">
        <v>0</v>
      </c>
      <c r="F32" s="2">
        <v>39734</v>
      </c>
      <c r="G32" s="2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CCC9-210C-3B43-B72A-3F8F93C1EB95}">
  <dimension ref="A1:B7"/>
  <sheetViews>
    <sheetView showGridLines="0" tabSelected="1" workbookViewId="0">
      <selection activeCell="J11" sqref="J11"/>
    </sheetView>
  </sheetViews>
  <sheetFormatPr baseColWidth="10" defaultRowHeight="16" x14ac:dyDescent="0.2"/>
  <cols>
    <col min="1" max="1" width="15.6640625" bestFit="1" customWidth="1"/>
    <col min="2" max="2" width="16.83203125" bestFit="1" customWidth="1"/>
  </cols>
  <sheetData>
    <row r="1" spans="1:2" x14ac:dyDescent="0.2">
      <c r="A1" s="3" t="s">
        <v>12</v>
      </c>
    </row>
    <row r="2" spans="1:2" x14ac:dyDescent="0.2">
      <c r="A2" s="3"/>
    </row>
    <row r="3" spans="1:2" x14ac:dyDescent="0.2">
      <c r="A3" s="3" t="s">
        <v>7</v>
      </c>
      <c r="B3" s="4" cm="1">
        <f t="array" ref="B3">INDEX(daily_snapshot[usd_clp], ROWS(daily_snapshot[usd_clp]))</f>
        <v>868</v>
      </c>
    </row>
    <row r="4" spans="1:2" x14ac:dyDescent="0.2">
      <c r="A4" s="3" t="s">
        <v>8</v>
      </c>
      <c r="B4" s="5" cm="1">
        <f t="array" ref="B4">INDEX(daily_snapshot[usd_pct_change], ROWS(daily_snapshot[usd_pct_change]))/100</f>
        <v>6.1767739393447929E-3</v>
      </c>
    </row>
    <row r="5" spans="1:2" x14ac:dyDescent="0.2">
      <c r="A5" s="3" t="s">
        <v>9</v>
      </c>
      <c r="B5" s="6" t="b" cm="1">
        <f t="array" ref="B5">INDEX(daily_snapshot[usd_above_ma30], ROWS(daily_snapshot[usd_above_ma30]))</f>
        <v>0</v>
      </c>
    </row>
    <row r="6" spans="1:2" x14ac:dyDescent="0.2">
      <c r="A6" s="3" t="s">
        <v>10</v>
      </c>
      <c r="B6" s="7" cm="1">
        <f t="array" ref="B6">INDEX(daily_snapshot[tpm], ROWS(daily_snapshot[tpm]))</f>
        <v>4</v>
      </c>
    </row>
    <row r="7" spans="1:2" x14ac:dyDescent="0.2">
      <c r="A7" s="3" t="s">
        <v>11</v>
      </c>
      <c r="B7" s="8" cm="1">
        <f t="array" ref="B7">INDEX(daily_snapshot[uf], ROWS(daily_snapshot[uf]))</f>
        <v>39734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C9B027-03C0-184E-8717-635F611EC2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daily_snapshot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Bastián Correa Verdugo</dc:creator>
  <cp:lastModifiedBy>Bastián Correa Verdugo</cp:lastModifiedBy>
  <dcterms:created xsi:type="dcterms:W3CDTF">2026-02-18T10:41:30Z</dcterms:created>
  <dcterms:modified xsi:type="dcterms:W3CDTF">2026-02-18T10:41:30Z</dcterms:modified>
</cp:coreProperties>
</file>